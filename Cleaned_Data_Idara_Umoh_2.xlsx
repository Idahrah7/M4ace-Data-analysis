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30d95e1dfac272/Documents/"/>
    </mc:Choice>
  </mc:AlternateContent>
  <xr:revisionPtr revIDLastSave="0" documentId="13_ncr:40009_{0741BC2C-86D4-4F11-B6E5-192780E2243B}" xr6:coauthVersionLast="41" xr6:coauthVersionMax="41" xr10:uidLastSave="{00000000-0000-0000-0000-000000000000}"/>
  <bookViews>
    <workbookView xWindow="-120" yWindow="-120" windowWidth="20730" windowHeight="11040"/>
  </bookViews>
  <sheets>
    <sheet name="Copy of Copy of cleaning data u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D5" i="1" s="1"/>
  <c r="C6" i="1"/>
  <c r="C7" i="1"/>
  <c r="C8" i="1"/>
  <c r="C9" i="1"/>
  <c r="C10" i="1"/>
  <c r="C11" i="1"/>
  <c r="C12" i="1"/>
  <c r="C13" i="1"/>
  <c r="C14" i="1"/>
  <c r="C15" i="1"/>
  <c r="C16" i="1"/>
  <c r="C17" i="1"/>
  <c r="D17" i="1" s="1"/>
  <c r="C18" i="1"/>
  <c r="C19" i="1"/>
  <c r="C20" i="1"/>
  <c r="C2" i="1"/>
  <c r="B3" i="1"/>
  <c r="D3" i="1" s="1"/>
  <c r="B4" i="1"/>
  <c r="B5" i="1"/>
  <c r="B6" i="1"/>
  <c r="B7" i="1"/>
  <c r="D7" i="1" s="1"/>
  <c r="B8" i="1"/>
  <c r="B9" i="1"/>
  <c r="B10" i="1"/>
  <c r="B11" i="1"/>
  <c r="D11" i="1" s="1"/>
  <c r="B12" i="1"/>
  <c r="B13" i="1"/>
  <c r="B14" i="1"/>
  <c r="B15" i="1"/>
  <c r="B16" i="1"/>
  <c r="B17" i="1"/>
  <c r="B18" i="1"/>
  <c r="B19" i="1"/>
  <c r="D19" i="1" s="1"/>
  <c r="B20" i="1"/>
  <c r="B2" i="1"/>
  <c r="D4" i="1"/>
  <c r="D8" i="1"/>
  <c r="D9" i="1"/>
  <c r="D12" i="1"/>
  <c r="D13" i="1"/>
  <c r="D15" i="1"/>
  <c r="D16" i="1"/>
  <c r="D2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D6" i="1" l="1"/>
  <c r="D18" i="1"/>
  <c r="D14" i="1"/>
  <c r="D10" i="1"/>
  <c r="D2" i="1"/>
</calcChain>
</file>

<file path=xl/sharedStrings.xml><?xml version="1.0" encoding="utf-8"?>
<sst xmlns="http://schemas.openxmlformats.org/spreadsheetml/2006/main" count="80" uniqueCount="59">
  <si>
    <t>ADMIN</t>
  </si>
  <si>
    <t>INTERN</t>
  </si>
  <si>
    <t>03/30/2013</t>
  </si>
  <si>
    <t>ENGINEERING</t>
  </si>
  <si>
    <t>TRAINEE</t>
  </si>
  <si>
    <t>04/30/2015</t>
  </si>
  <si>
    <t>SALES</t>
  </si>
  <si>
    <t>SALES EXECUTIVE</t>
  </si>
  <si>
    <t>11/15/2007</t>
  </si>
  <si>
    <t>MANAGER</t>
  </si>
  <si>
    <t>07/27/2009</t>
  </si>
  <si>
    <t>ACCOUNTS</t>
  </si>
  <si>
    <t>COST ACCOUNTANT</t>
  </si>
  <si>
    <t>12/23/2010</t>
  </si>
  <si>
    <t>MKTG</t>
  </si>
  <si>
    <t>DESIGNER</t>
  </si>
  <si>
    <t>07/25/2007</t>
  </si>
  <si>
    <t>SALES TRAINEE</t>
  </si>
  <si>
    <t>SENIOR ADMINISTRATOR</t>
  </si>
  <si>
    <t xml:space="preserve"> 12/15/2011</t>
  </si>
  <si>
    <t>SENIOR TECHNICIAN</t>
  </si>
  <si>
    <t xml:space="preserve"> 04/03/2012</t>
  </si>
  <si>
    <t>R &amp; D</t>
  </si>
  <si>
    <t>VP</t>
  </si>
  <si>
    <t>04/23/2009</t>
  </si>
  <si>
    <t>TEAM LEADER</t>
  </si>
  <si>
    <t>07/25/2015</t>
  </si>
  <si>
    <t xml:space="preserve"> 06/05/2014</t>
  </si>
  <si>
    <t xml:space="preserve"> 12/14/2011</t>
  </si>
  <si>
    <t xml:space="preserve"> 06/29/2001</t>
  </si>
  <si>
    <t xml:space="preserve">Employee Name </t>
  </si>
  <si>
    <t>Hire Date</t>
  </si>
  <si>
    <t>Salary</t>
  </si>
  <si>
    <t>Department</t>
  </si>
  <si>
    <t>Job Title</t>
  </si>
  <si>
    <t xml:space="preserve">Juarez, Jose </t>
  </si>
  <si>
    <t xml:space="preserve">Abraham, Johnny </t>
  </si>
  <si>
    <t>Baker, Sarah</t>
  </si>
  <si>
    <t>Balotelli, Billy</t>
  </si>
  <si>
    <t xml:space="preserve">Bishop, Tiana </t>
  </si>
  <si>
    <t>Boateng, Terryy</t>
  </si>
  <si>
    <t xml:space="preserve">Boer, Fred </t>
  </si>
  <si>
    <t>Barker, Betty</t>
  </si>
  <si>
    <t xml:space="preserve">Bursteyn , Tom </t>
  </si>
  <si>
    <t xml:space="preserve">Bursteyn, Tammy </t>
  </si>
  <si>
    <t>Busser, Bobby</t>
  </si>
  <si>
    <t>Casciewicz, Kathy</t>
  </si>
  <si>
    <t xml:space="preserve">Cole, Ashley </t>
  </si>
  <si>
    <t>Cookson, Charles</t>
  </si>
  <si>
    <t xml:space="preserve">Crossley, Erin </t>
  </si>
  <si>
    <t xml:space="preserve">Doe, Jane </t>
  </si>
  <si>
    <t xml:space="preserve">Doe, John  </t>
  </si>
  <si>
    <t>Darnstein, Danny</t>
  </si>
  <si>
    <t xml:space="preserve">Fallengrano, Bill </t>
  </si>
  <si>
    <t xml:space="preserve">Employee First Name </t>
  </si>
  <si>
    <t xml:space="preserve">Employee Last Name </t>
  </si>
  <si>
    <t>Employee Name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</si>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</sst>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₦&quot;* #,##0.00_-;\-&quot;₦&quot;* #,##0.00_-;_-&quot;₦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4" formatCode="_-&quot;₦&quot;* #,##0.00_-;\-&quot;₦&quot;* #,##0.00_-;_-&quot;₦&quot;* &quot;-&quot;??_-;_-@_-"/>
    </dxf>
    <dxf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J20" totalsRowShown="0">
  <autoFilter ref="B1:J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Employee First Name ">
      <calculatedColumnFormula>LEFT(A2,FIND(",",A2)-1)</calculatedColumnFormula>
    </tableColumn>
    <tableColumn id="2" name="Employee Last Name ">
      <calculatedColumnFormula>RIGHT(A2,LEN(A2)-FIND(",",A2))</calculatedColumnFormula>
    </tableColumn>
    <tableColumn id="3" name="Employee Name">
      <calculatedColumnFormula>CONCATENATE(B2, ","," ",C2)</calculatedColumnFormula>
    </tableColumn>
    <tableColumn id="4" name="Hire Date" dataDxfId="1"/>
    <tableColumn id="5" name="Salary" dataDxfId="0"/>
    <tableColumn id="6" name="Column1"/>
    <tableColumn id="7" name="Department">
      <calculatedColumnFormula>PROPER(G2)</calculatedColumnFormula>
    </tableColumn>
    <tableColumn id="8" name="Column2"/>
    <tableColumn id="9" name="Job Title">
      <calculatedColumnFormula>PROPER(I2)</calculatedColumnFormula>
    </tableColumn>
  </tableColumns>
  <tableStyleInfo name="TableStyleMedium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B1" zoomScaleNormal="100" workbookViewId="0">
      <selection activeCell="F1" sqref="F1"/>
    </sheetView>
  </sheetViews>
  <sheetFormatPr defaultRowHeight="15" x14ac:dyDescent="0.25"/>
  <cols>
    <col min="1" max="1" width="19.42578125" hidden="1" customWidth="1"/>
    <col min="2" max="2" width="22.42578125" customWidth="1"/>
    <col min="3" max="3" width="22" customWidth="1"/>
    <col min="4" max="4" width="19.42578125" customWidth="1"/>
    <col min="5" max="5" width="19.42578125" style="1" customWidth="1"/>
    <col min="6" max="6" width="19.42578125" style="2" customWidth="1"/>
    <col min="7" max="7" width="19.42578125" hidden="1" customWidth="1"/>
    <col min="8" max="8" width="19.42578125" customWidth="1"/>
    <col min="9" max="9" width="19.42578125" hidden="1" customWidth="1"/>
    <col min="10" max="10" width="19.42578125" customWidth="1"/>
  </cols>
  <sheetData>
    <row r="1" spans="1:10" x14ac:dyDescent="0.25">
      <c r="A1" t="s">
        <v>30</v>
      </c>
      <c r="B1" t="s">
        <v>54</v>
      </c>
      <c r="C1" t="s">
        <v>55</v>
      </c>
      <c r="D1" t="s">
        <v>56</v>
      </c>
      <c r="E1" s="1" t="s">
        <v>31</v>
      </c>
      <c r="F1" s="2" t="s">
        <v>32</v>
      </c>
      <c r="G1" t="s">
        <v>57</v>
      </c>
      <c r="H1" t="s">
        <v>33</v>
      </c>
      <c r="I1" t="s">
        <v>58</v>
      </c>
      <c r="J1" t="s">
        <v>34</v>
      </c>
    </row>
    <row r="2" spans="1:10" x14ac:dyDescent="0.25">
      <c r="A2" t="s">
        <v>35</v>
      </c>
      <c r="B2" t="str">
        <f>LEFT(A2,FIND(",",A2)-1)</f>
        <v>Juarez</v>
      </c>
      <c r="C2" t="str">
        <f>RIGHT(A2,LEN(A2)-FIND(",",A2))</f>
        <v xml:space="preserve"> Jose </v>
      </c>
      <c r="D2" t="str">
        <f>CONCATENATE(B2, ","," ",C2)</f>
        <v xml:space="preserve">Juarez,  Jose </v>
      </c>
      <c r="E2" s="1">
        <v>41297</v>
      </c>
      <c r="F2" s="2">
        <v>39000</v>
      </c>
      <c r="G2" t="s">
        <v>0</v>
      </c>
      <c r="H2" t="str">
        <f>PROPER(G2)</f>
        <v>Admin</v>
      </c>
      <c r="I2" t="s">
        <v>1</v>
      </c>
      <c r="J2" t="str">
        <f>PROPER(I2)</f>
        <v>Intern</v>
      </c>
    </row>
    <row r="3" spans="1:10" x14ac:dyDescent="0.25">
      <c r="A3" t="s">
        <v>36</v>
      </c>
      <c r="B3" t="str">
        <f>LEFT(A3,FIND(",",A3)-1)</f>
        <v>Abraham</v>
      </c>
      <c r="C3" t="str">
        <f>RIGHT(A3,LEN(A3)-FIND(",",A3))</f>
        <v xml:space="preserve"> Johnny </v>
      </c>
      <c r="D3" t="str">
        <f t="shared" ref="D3:D20" si="0">CONCATENATE(B3, ","," ",C3)</f>
        <v xml:space="preserve">Abraham,  Johnny </v>
      </c>
      <c r="E3" s="1" t="s">
        <v>2</v>
      </c>
      <c r="F3" s="2">
        <v>27000</v>
      </c>
      <c r="G3" t="s">
        <v>3</v>
      </c>
      <c r="H3" t="str">
        <f t="shared" ref="H3:H20" si="1">PROPER(G3)</f>
        <v>Engineering</v>
      </c>
      <c r="I3" t="s">
        <v>4</v>
      </c>
      <c r="J3" t="str">
        <f t="shared" ref="J3:J20" si="2">PROPER(I3)</f>
        <v>Trainee</v>
      </c>
    </row>
    <row r="4" spans="1:10" x14ac:dyDescent="0.25">
      <c r="A4" t="s">
        <v>37</v>
      </c>
      <c r="B4" t="str">
        <f>LEFT(A4,FIND(",",A4)-1)</f>
        <v>Baker</v>
      </c>
      <c r="C4" t="str">
        <f>RIGHT(A4,LEN(A4)-FIND(",",A4))</f>
        <v xml:space="preserve"> Sarah</v>
      </c>
      <c r="D4" t="str">
        <f t="shared" si="0"/>
        <v>Baker,  Sarah</v>
      </c>
      <c r="E4" s="1" t="s">
        <v>5</v>
      </c>
      <c r="F4" s="2">
        <v>36000</v>
      </c>
      <c r="G4" t="s">
        <v>6</v>
      </c>
      <c r="H4" t="str">
        <f t="shared" si="1"/>
        <v>Sales</v>
      </c>
      <c r="I4" t="s">
        <v>7</v>
      </c>
      <c r="J4" t="str">
        <f t="shared" si="2"/>
        <v>Sales Executive</v>
      </c>
    </row>
    <row r="5" spans="1:10" x14ac:dyDescent="0.25">
      <c r="A5" t="s">
        <v>38</v>
      </c>
      <c r="B5" t="str">
        <f>LEFT(A5,FIND(",",A5)-1)</f>
        <v>Balotelli</v>
      </c>
      <c r="C5" t="str">
        <f>RIGHT(A5,LEN(A5)-FIND(",",A5))</f>
        <v xml:space="preserve"> Billy</v>
      </c>
      <c r="D5" t="str">
        <f t="shared" si="0"/>
        <v>Balotelli,  Billy</v>
      </c>
      <c r="E5" s="1" t="s">
        <v>8</v>
      </c>
      <c r="F5" s="2">
        <v>23900</v>
      </c>
      <c r="G5" t="s">
        <v>3</v>
      </c>
      <c r="H5" t="str">
        <f t="shared" si="1"/>
        <v>Engineering</v>
      </c>
      <c r="I5" t="s">
        <v>1</v>
      </c>
      <c r="J5" t="str">
        <f t="shared" si="2"/>
        <v>Intern</v>
      </c>
    </row>
    <row r="6" spans="1:10" x14ac:dyDescent="0.25">
      <c r="A6" t="s">
        <v>39</v>
      </c>
      <c r="B6" t="str">
        <f>LEFT(A6,FIND(",",A6)-1)</f>
        <v>Bishop</v>
      </c>
      <c r="C6" t="str">
        <f>RIGHT(A6,LEN(A6)-FIND(",",A6))</f>
        <v xml:space="preserve"> Tiana </v>
      </c>
      <c r="D6" t="str">
        <f t="shared" si="0"/>
        <v xml:space="preserve">Bishop,  Tiana </v>
      </c>
      <c r="E6" s="1">
        <v>37959</v>
      </c>
      <c r="F6" s="2">
        <v>46500</v>
      </c>
      <c r="G6" t="s">
        <v>3</v>
      </c>
      <c r="H6" t="str">
        <f t="shared" si="1"/>
        <v>Engineering</v>
      </c>
      <c r="I6" t="s">
        <v>9</v>
      </c>
      <c r="J6" t="str">
        <f t="shared" si="2"/>
        <v>Manager</v>
      </c>
    </row>
    <row r="7" spans="1:10" x14ac:dyDescent="0.25">
      <c r="A7" t="s">
        <v>40</v>
      </c>
      <c r="B7" t="str">
        <f>LEFT(A7,FIND(",",A7)-1)</f>
        <v>Boateng</v>
      </c>
      <c r="C7" t="str">
        <f>RIGHT(A7,LEN(A7)-FIND(",",A7))</f>
        <v xml:space="preserve"> Terryy</v>
      </c>
      <c r="D7" t="str">
        <f t="shared" si="0"/>
        <v>Boateng,  Terryy</v>
      </c>
      <c r="E7" s="1" t="s">
        <v>10</v>
      </c>
      <c r="F7" s="2">
        <v>50000</v>
      </c>
      <c r="G7" t="s">
        <v>11</v>
      </c>
      <c r="H7" t="str">
        <f t="shared" si="1"/>
        <v>Accounts</v>
      </c>
      <c r="I7" t="s">
        <v>12</v>
      </c>
      <c r="J7" t="str">
        <f t="shared" si="2"/>
        <v>Cost Accountant</v>
      </c>
    </row>
    <row r="8" spans="1:10" x14ac:dyDescent="0.25">
      <c r="A8" t="s">
        <v>41</v>
      </c>
      <c r="B8" t="str">
        <f>LEFT(A8,FIND(",",A8)-1)</f>
        <v>Boer</v>
      </c>
      <c r="C8" t="str">
        <f>RIGHT(A8,LEN(A8)-FIND(",",A8))</f>
        <v xml:space="preserve"> Fred </v>
      </c>
      <c r="D8" t="str">
        <f t="shared" si="0"/>
        <v xml:space="preserve">Boer,  Fred </v>
      </c>
      <c r="E8" s="1" t="s">
        <v>13</v>
      </c>
      <c r="F8" s="2">
        <v>46000</v>
      </c>
      <c r="G8" t="s">
        <v>14</v>
      </c>
      <c r="H8" t="str">
        <f t="shared" si="1"/>
        <v>Mktg</v>
      </c>
      <c r="I8" t="s">
        <v>15</v>
      </c>
      <c r="J8" t="str">
        <f t="shared" si="2"/>
        <v>Designer</v>
      </c>
    </row>
    <row r="9" spans="1:10" x14ac:dyDescent="0.25">
      <c r="A9" t="s">
        <v>42</v>
      </c>
      <c r="B9" t="str">
        <f>LEFT(A9,FIND(",",A9)-1)</f>
        <v>Barker</v>
      </c>
      <c r="C9" t="str">
        <f>RIGHT(A9,LEN(A9)-FIND(",",A9))</f>
        <v xml:space="preserve"> Betty</v>
      </c>
      <c r="D9" t="str">
        <f t="shared" si="0"/>
        <v>Barker,  Betty</v>
      </c>
      <c r="E9" s="1" t="s">
        <v>16</v>
      </c>
      <c r="F9" s="2">
        <v>43500</v>
      </c>
      <c r="G9" t="s">
        <v>6</v>
      </c>
      <c r="H9" t="str">
        <f t="shared" si="1"/>
        <v>Sales</v>
      </c>
      <c r="I9" t="s">
        <v>7</v>
      </c>
      <c r="J9" t="str">
        <f t="shared" si="2"/>
        <v>Sales Executive</v>
      </c>
    </row>
    <row r="10" spans="1:10" x14ac:dyDescent="0.25">
      <c r="A10" t="s">
        <v>43</v>
      </c>
      <c r="B10" t="str">
        <f>LEFT(A10,FIND(",",A10)-1)</f>
        <v xml:space="preserve">Bursteyn </v>
      </c>
      <c r="C10" t="str">
        <f>RIGHT(A10,LEN(A10)-FIND(",",A10))</f>
        <v xml:space="preserve"> Tom </v>
      </c>
      <c r="D10" t="str">
        <f t="shared" si="0"/>
        <v xml:space="preserve">Bursteyn ,  Tom </v>
      </c>
      <c r="E10" s="1">
        <v>36834</v>
      </c>
      <c r="F10" s="2">
        <v>21000</v>
      </c>
      <c r="G10" t="s">
        <v>6</v>
      </c>
      <c r="H10" t="str">
        <f t="shared" si="1"/>
        <v>Sales</v>
      </c>
      <c r="I10" t="s">
        <v>17</v>
      </c>
      <c r="J10" t="str">
        <f t="shared" si="2"/>
        <v>Sales Trainee</v>
      </c>
    </row>
    <row r="11" spans="1:10" x14ac:dyDescent="0.25">
      <c r="A11" t="s">
        <v>44</v>
      </c>
      <c r="B11" t="str">
        <f>LEFT(A11,FIND(",",A11)-1)</f>
        <v>Bursteyn</v>
      </c>
      <c r="C11" t="str">
        <f>RIGHT(A11,LEN(A11)-FIND(",",A11))</f>
        <v xml:space="preserve"> Tammy </v>
      </c>
      <c r="D11" t="str">
        <f t="shared" si="0"/>
        <v xml:space="preserve">Bursteyn,  Tammy </v>
      </c>
      <c r="E11" s="1">
        <v>38238</v>
      </c>
      <c r="F11" s="2">
        <v>38000</v>
      </c>
      <c r="G11" t="s">
        <v>6</v>
      </c>
      <c r="H11" t="str">
        <f t="shared" si="1"/>
        <v>Sales</v>
      </c>
      <c r="I11" t="s">
        <v>7</v>
      </c>
      <c r="J11" t="str">
        <f t="shared" si="2"/>
        <v>Sales Executive</v>
      </c>
    </row>
    <row r="12" spans="1:10" x14ac:dyDescent="0.25">
      <c r="A12" t="s">
        <v>45</v>
      </c>
      <c r="B12" t="str">
        <f>LEFT(A12,FIND(",",A12)-1)</f>
        <v>Busser</v>
      </c>
      <c r="C12" t="str">
        <f>RIGHT(A12,LEN(A12)-FIND(",",A12))</f>
        <v xml:space="preserve"> Bobby</v>
      </c>
      <c r="D12" t="str">
        <f t="shared" si="0"/>
        <v>Busser,  Bobby</v>
      </c>
      <c r="E12" s="1">
        <v>37417</v>
      </c>
      <c r="F12" s="2">
        <v>29950</v>
      </c>
      <c r="G12" t="s">
        <v>11</v>
      </c>
      <c r="H12" t="str">
        <f t="shared" si="1"/>
        <v>Accounts</v>
      </c>
      <c r="I12" t="s">
        <v>18</v>
      </c>
      <c r="J12" t="str">
        <f t="shared" si="2"/>
        <v>Senior Administrator</v>
      </c>
    </row>
    <row r="13" spans="1:10" x14ac:dyDescent="0.25">
      <c r="A13" t="s">
        <v>46</v>
      </c>
      <c r="B13" t="str">
        <f>LEFT(A13,FIND(",",A13)-1)</f>
        <v>Casciewicz</v>
      </c>
      <c r="C13" t="str">
        <f>RIGHT(A13,LEN(A13)-FIND(",",A13))</f>
        <v xml:space="preserve"> Kathy</v>
      </c>
      <c r="D13" t="str">
        <f t="shared" si="0"/>
        <v>Casciewicz,  Kathy</v>
      </c>
      <c r="E13" s="1" t="s">
        <v>19</v>
      </c>
      <c r="F13" s="2">
        <v>41000</v>
      </c>
      <c r="G13" t="s">
        <v>6</v>
      </c>
      <c r="H13" t="str">
        <f t="shared" si="1"/>
        <v>Sales</v>
      </c>
      <c r="I13" t="s">
        <v>20</v>
      </c>
      <c r="J13" t="str">
        <f t="shared" si="2"/>
        <v>Senior Technician</v>
      </c>
    </row>
    <row r="14" spans="1:10" x14ac:dyDescent="0.25">
      <c r="A14" t="s">
        <v>47</v>
      </c>
      <c r="B14" t="str">
        <f>LEFT(A14,FIND(",",A14)-1)</f>
        <v>Cole</v>
      </c>
      <c r="C14" t="str">
        <f>RIGHT(A14,LEN(A14)-FIND(",",A14))</f>
        <v xml:space="preserve"> Ashley </v>
      </c>
      <c r="D14" t="str">
        <f t="shared" si="0"/>
        <v xml:space="preserve">Cole,  Ashley </v>
      </c>
      <c r="E14" s="1">
        <v>40483</v>
      </c>
      <c r="F14" s="2">
        <v>54000</v>
      </c>
      <c r="G14" t="s">
        <v>6</v>
      </c>
      <c r="H14" t="str">
        <f t="shared" si="1"/>
        <v>Sales</v>
      </c>
      <c r="I14" t="s">
        <v>12</v>
      </c>
      <c r="J14" t="str">
        <f t="shared" si="2"/>
        <v>Cost Accountant</v>
      </c>
    </row>
    <row r="15" spans="1:10" x14ac:dyDescent="0.25">
      <c r="A15" t="s">
        <v>48</v>
      </c>
      <c r="B15" t="str">
        <f>LEFT(A15,FIND(",",A15)-1)</f>
        <v>Cookson</v>
      </c>
      <c r="C15" t="str">
        <f>RIGHT(A15,LEN(A15)-FIND(",",A15))</f>
        <v xml:space="preserve"> Charles</v>
      </c>
      <c r="D15" t="str">
        <f t="shared" si="0"/>
        <v>Cookson,  Charles</v>
      </c>
      <c r="E15" s="1" t="s">
        <v>21</v>
      </c>
      <c r="F15" s="2">
        <v>63200</v>
      </c>
      <c r="G15" t="s">
        <v>22</v>
      </c>
      <c r="H15" t="str">
        <f t="shared" si="1"/>
        <v>R &amp; D</v>
      </c>
      <c r="I15" t="s">
        <v>23</v>
      </c>
      <c r="J15" t="str">
        <f t="shared" si="2"/>
        <v>Vp</v>
      </c>
    </row>
    <row r="16" spans="1:10" x14ac:dyDescent="0.25">
      <c r="A16" t="s">
        <v>49</v>
      </c>
      <c r="B16" t="str">
        <f>LEFT(A16,FIND(",",A16)-1)</f>
        <v>Crossley</v>
      </c>
      <c r="C16" t="str">
        <f>RIGHT(A16,LEN(A16)-FIND(",",A16))</f>
        <v xml:space="preserve"> Erin </v>
      </c>
      <c r="D16" t="str">
        <f t="shared" si="0"/>
        <v xml:space="preserve">Crossley,  Erin </v>
      </c>
      <c r="E16" s="1" t="s">
        <v>24</v>
      </c>
      <c r="F16" s="2">
        <v>46000</v>
      </c>
      <c r="G16" t="s">
        <v>0</v>
      </c>
      <c r="H16" t="str">
        <f t="shared" si="1"/>
        <v>Admin</v>
      </c>
      <c r="I16" t="s">
        <v>25</v>
      </c>
      <c r="J16" t="str">
        <f t="shared" si="2"/>
        <v>Team Leader</v>
      </c>
    </row>
    <row r="17" spans="1:10" x14ac:dyDescent="0.25">
      <c r="A17" t="s">
        <v>50</v>
      </c>
      <c r="B17" t="str">
        <f>LEFT(A17,FIND(",",A17)-1)</f>
        <v>Doe</v>
      </c>
      <c r="C17" t="str">
        <f>RIGHT(A17,LEN(A17)-FIND(",",A17))</f>
        <v xml:space="preserve"> Jane </v>
      </c>
      <c r="D17" t="str">
        <f t="shared" si="0"/>
        <v xml:space="preserve">Doe,  Jane </v>
      </c>
      <c r="E17" s="1" t="s">
        <v>26</v>
      </c>
      <c r="F17" s="2">
        <v>21500</v>
      </c>
      <c r="G17" t="s">
        <v>22</v>
      </c>
      <c r="H17" t="str">
        <f t="shared" si="1"/>
        <v>R &amp; D</v>
      </c>
      <c r="I17" t="s">
        <v>4</v>
      </c>
      <c r="J17" t="str">
        <f t="shared" si="2"/>
        <v>Trainee</v>
      </c>
    </row>
    <row r="18" spans="1:10" x14ac:dyDescent="0.25">
      <c r="A18" t="s">
        <v>51</v>
      </c>
      <c r="B18" t="str">
        <f>LEFT(A18,FIND(",",A18)-1)</f>
        <v>Doe</v>
      </c>
      <c r="C18" t="str">
        <f>RIGHT(A18,LEN(A18)-FIND(",",A18))</f>
        <v xml:space="preserve"> John  </v>
      </c>
      <c r="D18" t="str">
        <f t="shared" si="0"/>
        <v xml:space="preserve">Doe,  John  </v>
      </c>
      <c r="E18" s="1" t="s">
        <v>27</v>
      </c>
      <c r="F18" s="2">
        <v>45600</v>
      </c>
      <c r="G18" t="s">
        <v>3</v>
      </c>
      <c r="H18" t="str">
        <f t="shared" si="1"/>
        <v>Engineering</v>
      </c>
      <c r="I18" t="s">
        <v>1</v>
      </c>
      <c r="J18" t="str">
        <f t="shared" si="2"/>
        <v>Intern</v>
      </c>
    </row>
    <row r="19" spans="1:10" x14ac:dyDescent="0.25">
      <c r="A19" t="s">
        <v>52</v>
      </c>
      <c r="B19" t="str">
        <f>LEFT(A19,FIND(",",A19)-1)</f>
        <v>Darnstein</v>
      </c>
      <c r="C19" t="str">
        <f>RIGHT(A19,LEN(A19)-FIND(",",A19))</f>
        <v xml:space="preserve"> Danny</v>
      </c>
      <c r="D19" t="str">
        <f t="shared" si="0"/>
        <v>Darnstein,  Danny</v>
      </c>
      <c r="E19" s="1" t="s">
        <v>28</v>
      </c>
      <c r="F19" s="2">
        <v>52000</v>
      </c>
      <c r="G19" t="s">
        <v>3</v>
      </c>
      <c r="H19" t="str">
        <f t="shared" si="1"/>
        <v>Engineering</v>
      </c>
      <c r="I19" t="s">
        <v>12</v>
      </c>
      <c r="J19" t="str">
        <f t="shared" si="2"/>
        <v>Cost Accountant</v>
      </c>
    </row>
    <row r="20" spans="1:10" x14ac:dyDescent="0.25">
      <c r="A20" t="s">
        <v>53</v>
      </c>
      <c r="B20" t="str">
        <f>LEFT(A20,FIND(",",A20)-1)</f>
        <v>Fallengrano</v>
      </c>
      <c r="C20" t="str">
        <f>RIGHT(A20,LEN(A20)-FIND(",",A20))</f>
        <v xml:space="preserve"> Bill </v>
      </c>
      <c r="D20" t="str">
        <f t="shared" si="0"/>
        <v xml:space="preserve">Fallengrano,  Bill </v>
      </c>
      <c r="E20" s="1" t="s">
        <v>29</v>
      </c>
      <c r="F20" s="2">
        <v>56750</v>
      </c>
      <c r="G20" t="s">
        <v>3</v>
      </c>
      <c r="H20" t="str">
        <f t="shared" si="1"/>
        <v>Engineering</v>
      </c>
      <c r="I20" t="s">
        <v>18</v>
      </c>
      <c r="J20" t="str">
        <f t="shared" si="2"/>
        <v>Senior Administrator</v>
      </c>
    </row>
  </sheetData>
  <pageMargins left="0.7" right="0.7" top="0.75" bottom="0.75" header="0.3" footer="0.3"/>
  <pageSetup scale="63" orientation="portrait" r:id="rId1"/>
  <tableParts count="1">
    <tablePart r:id="rId2"/>
  </tableParts>
</worksheet>
</file>