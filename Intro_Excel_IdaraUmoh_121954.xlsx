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xr:revisionPtr revIDLastSave="0" documentId="13_ncr:1_{94B14825-FE8E-4099-8E0A-A4B5E24EC282}" xr6:coauthVersionLast="47" xr6:coauthVersionMax="47" xr10:uidLastSave="{00000000-0000-0000-0000-000000000000}"/>
  <bookViews>
    <workbookView xWindow="-108" yWindow="-108" windowWidth="23256" windowHeight="13176" xr2:uid="{3BDD127B-71C8-483E-83E5-87A07F975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G18" i="1" l="1"/>
</calcChain>
</file>

<file path=xl/sharedStrings.xml><?xml version="1.0" encoding="utf-8"?>
<sst xmlns="http://schemas.openxmlformats.org/spreadsheetml/2006/main" count="55" uniqueCount="38">
  <si>
    <t>Date</t>
  </si>
  <si>
    <t>Sales Representative</t>
  </si>
  <si>
    <t>Region</t>
  </si>
  <si>
    <t>Production Unit</t>
  </si>
  <si>
    <t>Sold Unit</t>
  </si>
  <si>
    <t>Unit Prices</t>
  </si>
  <si>
    <t xml:space="preserve"> Total Sales</t>
  </si>
  <si>
    <t>John</t>
  </si>
  <si>
    <t>Mary</t>
  </si>
  <si>
    <t>David</t>
  </si>
  <si>
    <t>Grace</t>
  </si>
  <si>
    <t>Esther</t>
  </si>
  <si>
    <t>Daniel</t>
  </si>
  <si>
    <t>Ruth</t>
  </si>
  <si>
    <t>Micheal</t>
  </si>
  <si>
    <t>Joy</t>
  </si>
  <si>
    <t>Cephas</t>
  </si>
  <si>
    <t>Idara</t>
  </si>
  <si>
    <t>Blessed</t>
  </si>
  <si>
    <t>Wisdom</t>
  </si>
  <si>
    <t>Otoyo</t>
  </si>
  <si>
    <t>Uduak</t>
  </si>
  <si>
    <t>Lagos</t>
  </si>
  <si>
    <t>Abuja</t>
  </si>
  <si>
    <t>Port Harcourt</t>
  </si>
  <si>
    <t>Ikot Akpaden</t>
  </si>
  <si>
    <t>Umuhia</t>
  </si>
  <si>
    <t>Calabar</t>
  </si>
  <si>
    <t>Uyo</t>
  </si>
  <si>
    <t>Owerri</t>
  </si>
  <si>
    <t>Akwa</t>
  </si>
  <si>
    <t>Cement</t>
  </si>
  <si>
    <t>Steel rod</t>
  </si>
  <si>
    <t>Blocks</t>
  </si>
  <si>
    <t>Sand</t>
  </si>
  <si>
    <t>TOTAL</t>
  </si>
  <si>
    <t>AVERAGE UNITS SOLD</t>
  </si>
  <si>
    <t>COUNT NUMBER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</si>
</sst>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4" fontId="0" fillId="0" borderId="0" xfId="0" applyNumberFormat="1"/>
    <xf numFmtId="44" fontId="1" fillId="0" borderId="1" xfId="0" applyNumberFormat="1" applyFont="1" applyBorder="1"/>
    <xf numFmtId="0" fontId="0" fillId="0" borderId="1" xfId="0" applyBorder="1"/>
    <xf numFmtId="4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44" fontId="1" fillId="0" borderId="3" xfId="0" applyNumberFormat="1" applyFont="1" applyBorder="1"/>
    <xf numFmtId="44" fontId="0" fillId="0" borderId="3" xfId="0" applyNumberForma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44" fontId="1" fillId="0" borderId="5" xfId="0" applyNumberFormat="1" applyFont="1" applyBorder="1"/>
    <xf numFmtId="44" fontId="1" fillId="0" borderId="6" xfId="0" applyNumberFormat="1" applyFont="1" applyBorder="1"/>
    <xf numFmtId="0" fontId="0" fillId="0" borderId="7" xfId="0" applyBorder="1"/>
    <xf numFmtId="0" fontId="0" fillId="0" borderId="8" xfId="0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16"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7519DF-4DE8-4F6C-A1AD-662D949FEE90}" name="Table6" displayName="Table6" ref="A1:G20" headerRowDxfId="7" headerRowBorderDxfId="14" tableBorderDxfId="15" totalsRowBorderDxfId="13">
  <autoFilter ref="A1:G20" xr:uid="{637519DF-4DE8-4F6C-A1AD-662D949FEE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C94E427-24C2-43D3-A1E1-DE8A1D058B1D}" name="Date" totalsRowLabel="Total" dataDxfId="12" totalsRowDxfId="0"/>
    <tableColumn id="2" xr3:uid="{833D5D54-2C5B-4EA5-90A5-03CDF023258A}" name="Sales Representative" dataDxfId="11" totalsRowDxfId="1"/>
    <tableColumn id="3" xr3:uid="{ADF73CE8-C3D8-47DA-9305-2B67E10F22B4}" name="Region" dataDxfId="10" totalsRowDxfId="2"/>
    <tableColumn id="4" xr3:uid="{8D72A9E4-E034-47F4-985F-2B1AAD0F30BE}" name="Production Unit" dataDxfId="9" totalsRowDxfId="3"/>
    <tableColumn id="5" xr3:uid="{FF730A93-EB2E-4CAC-BCEC-917249885DDF}" name="Sold Unit" dataDxfId="8" totalsRowDxfId="4"/>
    <tableColumn id="6" xr3:uid="{1917C26A-0323-4735-8767-F527FC0F8A4C}" name="Unit Prices" totalsRowDxfId="5"/>
    <tableColumn id="7" xr3:uid="{A21476CA-316E-48A8-ABE9-1F2DE93688A0}" name=" Total Sales" totalsRowFunction="sum" totalsRow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6C9A-5F42-4C24-AEAB-18D604B42BC5}">
  <dimension ref="A1:G22"/>
  <sheetViews>
    <sheetView tabSelected="1" zoomScaleNormal="100" workbookViewId="0">
      <selection activeCell="I5" sqref="I5"/>
    </sheetView>
  </sheetViews>
  <sheetFormatPr defaultRowHeight="14.4" x14ac:dyDescent="0.3"/>
  <cols>
    <col min="1" max="1" width="10.5546875" bestFit="1" customWidth="1"/>
    <col min="2" max="2" width="20.109375" customWidth="1"/>
    <col min="3" max="3" width="12.109375" bestFit="1" customWidth="1"/>
    <col min="4" max="4" width="32.109375" bestFit="1" customWidth="1"/>
    <col min="5" max="5" width="14.21875" customWidth="1"/>
    <col min="6" max="6" width="32.21875" style="1" bestFit="1" customWidth="1"/>
    <col min="7" max="7" width="18.77734375" style="1" bestFit="1" customWidth="1"/>
  </cols>
  <sheetData>
    <row r="1" spans="1:7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3" t="s">
        <v>6</v>
      </c>
    </row>
    <row r="2" spans="1:7" x14ac:dyDescent="0.3">
      <c r="A2" s="5">
        <v>46023</v>
      </c>
      <c r="B2" s="3" t="s">
        <v>7</v>
      </c>
      <c r="C2" s="3" t="s">
        <v>22</v>
      </c>
      <c r="D2" s="3" t="s">
        <v>31</v>
      </c>
      <c r="E2" s="3">
        <v>120</v>
      </c>
      <c r="F2" s="4">
        <v>4500</v>
      </c>
      <c r="G2" s="8">
        <f>E2*F2</f>
        <v>540000</v>
      </c>
    </row>
    <row r="3" spans="1:7" x14ac:dyDescent="0.3">
      <c r="A3" s="5">
        <v>46024</v>
      </c>
      <c r="B3" s="3" t="s">
        <v>8</v>
      </c>
      <c r="C3" s="3" t="s">
        <v>23</v>
      </c>
      <c r="D3" s="3" t="s">
        <v>32</v>
      </c>
      <c r="E3" s="3">
        <v>150</v>
      </c>
      <c r="F3" s="4">
        <v>8500</v>
      </c>
      <c r="G3" s="8">
        <f t="shared" ref="G3:G16" si="0">E3*F3</f>
        <v>1275000</v>
      </c>
    </row>
    <row r="4" spans="1:7" x14ac:dyDescent="0.3">
      <c r="A4" s="5">
        <v>46025</v>
      </c>
      <c r="B4" s="3" t="s">
        <v>9</v>
      </c>
      <c r="C4" s="3" t="s">
        <v>24</v>
      </c>
      <c r="D4" s="3" t="s">
        <v>34</v>
      </c>
      <c r="E4" s="3">
        <v>80</v>
      </c>
      <c r="F4" s="4">
        <v>1500</v>
      </c>
      <c r="G4" s="8">
        <f t="shared" si="0"/>
        <v>120000</v>
      </c>
    </row>
    <row r="5" spans="1:7" x14ac:dyDescent="0.3">
      <c r="A5" s="5">
        <v>46026</v>
      </c>
      <c r="B5" s="3" t="s">
        <v>10</v>
      </c>
      <c r="C5" s="3" t="s">
        <v>25</v>
      </c>
      <c r="D5" s="3" t="s">
        <v>33</v>
      </c>
      <c r="E5" s="3">
        <v>600</v>
      </c>
      <c r="F5" s="4">
        <v>500</v>
      </c>
      <c r="G5" s="8">
        <f t="shared" si="0"/>
        <v>300000</v>
      </c>
    </row>
    <row r="6" spans="1:7" x14ac:dyDescent="0.3">
      <c r="A6" s="5">
        <v>46027</v>
      </c>
      <c r="B6" s="3" t="s">
        <v>11</v>
      </c>
      <c r="C6" s="3" t="s">
        <v>26</v>
      </c>
      <c r="D6" s="3" t="s">
        <v>32</v>
      </c>
      <c r="E6" s="3">
        <v>350</v>
      </c>
      <c r="F6" s="4">
        <v>7000</v>
      </c>
      <c r="G6" s="8">
        <f t="shared" si="0"/>
        <v>2450000</v>
      </c>
    </row>
    <row r="7" spans="1:7" x14ac:dyDescent="0.3">
      <c r="A7" s="5">
        <v>46028</v>
      </c>
      <c r="B7" s="3" t="s">
        <v>12</v>
      </c>
      <c r="C7" s="3" t="s">
        <v>23</v>
      </c>
      <c r="D7" s="3" t="s">
        <v>34</v>
      </c>
      <c r="E7" s="3">
        <v>96</v>
      </c>
      <c r="F7" s="4">
        <v>2000</v>
      </c>
      <c r="G7" s="8">
        <f t="shared" si="0"/>
        <v>192000</v>
      </c>
    </row>
    <row r="8" spans="1:7" x14ac:dyDescent="0.3">
      <c r="A8" s="5">
        <v>46029</v>
      </c>
      <c r="B8" s="3" t="s">
        <v>13</v>
      </c>
      <c r="C8" s="3" t="s">
        <v>27</v>
      </c>
      <c r="D8" s="3" t="s">
        <v>34</v>
      </c>
      <c r="E8" s="3">
        <v>180</v>
      </c>
      <c r="F8" s="4">
        <v>1400</v>
      </c>
      <c r="G8" s="8">
        <f t="shared" si="0"/>
        <v>252000</v>
      </c>
    </row>
    <row r="9" spans="1:7" x14ac:dyDescent="0.3">
      <c r="A9" s="5">
        <v>46030</v>
      </c>
      <c r="B9" s="3" t="s">
        <v>14</v>
      </c>
      <c r="C9" s="3" t="s">
        <v>28</v>
      </c>
      <c r="D9" s="3" t="s">
        <v>31</v>
      </c>
      <c r="E9" s="3">
        <v>300</v>
      </c>
      <c r="F9" s="4">
        <v>1000</v>
      </c>
      <c r="G9" s="8">
        <f t="shared" si="0"/>
        <v>300000</v>
      </c>
    </row>
    <row r="10" spans="1:7" x14ac:dyDescent="0.3">
      <c r="A10" s="5">
        <v>46031</v>
      </c>
      <c r="B10" s="3" t="s">
        <v>15</v>
      </c>
      <c r="C10" s="3" t="s">
        <v>29</v>
      </c>
      <c r="D10" s="3" t="s">
        <v>31</v>
      </c>
      <c r="E10" s="3">
        <v>200</v>
      </c>
      <c r="F10" s="4">
        <v>1000</v>
      </c>
      <c r="G10" s="8">
        <f t="shared" si="0"/>
        <v>200000</v>
      </c>
    </row>
    <row r="11" spans="1:7" x14ac:dyDescent="0.3">
      <c r="A11" s="5">
        <v>46032</v>
      </c>
      <c r="B11" s="3" t="s">
        <v>16</v>
      </c>
      <c r="C11" s="3" t="s">
        <v>22</v>
      </c>
      <c r="D11" s="3" t="s">
        <v>32</v>
      </c>
      <c r="E11" s="3">
        <v>220</v>
      </c>
      <c r="F11" s="4">
        <v>8000</v>
      </c>
      <c r="G11" s="8">
        <f t="shared" si="0"/>
        <v>1760000</v>
      </c>
    </row>
    <row r="12" spans="1:7" x14ac:dyDescent="0.3">
      <c r="A12" s="5">
        <v>46033</v>
      </c>
      <c r="B12" s="3" t="s">
        <v>17</v>
      </c>
      <c r="C12" s="3" t="s">
        <v>25</v>
      </c>
      <c r="D12" s="3" t="s">
        <v>33</v>
      </c>
      <c r="E12" s="3">
        <v>280</v>
      </c>
      <c r="F12" s="4">
        <v>700</v>
      </c>
      <c r="G12" s="8">
        <f t="shared" si="0"/>
        <v>196000</v>
      </c>
    </row>
    <row r="13" spans="1:7" x14ac:dyDescent="0.3">
      <c r="A13" s="5">
        <v>46034</v>
      </c>
      <c r="B13" s="3" t="s">
        <v>18</v>
      </c>
      <c r="C13" s="3" t="s">
        <v>22</v>
      </c>
      <c r="D13" s="3" t="s">
        <v>32</v>
      </c>
      <c r="E13" s="3">
        <v>160</v>
      </c>
      <c r="F13" s="4">
        <v>8200</v>
      </c>
      <c r="G13" s="8">
        <f t="shared" si="0"/>
        <v>1312000</v>
      </c>
    </row>
    <row r="14" spans="1:7" x14ac:dyDescent="0.3">
      <c r="A14" s="5">
        <v>46035</v>
      </c>
      <c r="B14" s="3" t="s">
        <v>19</v>
      </c>
      <c r="C14" s="3" t="s">
        <v>23</v>
      </c>
      <c r="D14" s="3" t="s">
        <v>33</v>
      </c>
      <c r="E14" s="3">
        <v>100</v>
      </c>
      <c r="F14" s="4">
        <v>950</v>
      </c>
      <c r="G14" s="8">
        <f t="shared" si="0"/>
        <v>95000</v>
      </c>
    </row>
    <row r="15" spans="1:7" x14ac:dyDescent="0.3">
      <c r="A15" s="5">
        <v>46036</v>
      </c>
      <c r="B15" s="3" t="s">
        <v>20</v>
      </c>
      <c r="C15" s="3" t="s">
        <v>24</v>
      </c>
      <c r="D15" s="3" t="s">
        <v>34</v>
      </c>
      <c r="E15" s="3">
        <v>160</v>
      </c>
      <c r="F15" s="4">
        <v>1300</v>
      </c>
      <c r="G15" s="8">
        <f t="shared" si="0"/>
        <v>208000</v>
      </c>
    </row>
    <row r="16" spans="1:7" x14ac:dyDescent="0.3">
      <c r="A16" s="5">
        <v>46037</v>
      </c>
      <c r="B16" s="3" t="s">
        <v>21</v>
      </c>
      <c r="C16" s="3" t="s">
        <v>30</v>
      </c>
      <c r="D16" s="3" t="s">
        <v>31</v>
      </c>
      <c r="E16" s="3">
        <v>144</v>
      </c>
      <c r="F16" s="4">
        <v>1000</v>
      </c>
      <c r="G16" s="8">
        <f t="shared" si="0"/>
        <v>144000</v>
      </c>
    </row>
    <row r="17" spans="1:7" x14ac:dyDescent="0.3">
      <c r="A17" s="6"/>
      <c r="B17" s="3"/>
      <c r="C17" s="3"/>
      <c r="D17" s="3"/>
      <c r="E17" s="3"/>
      <c r="F17" s="4"/>
      <c r="G17" s="7"/>
    </row>
    <row r="18" spans="1:7" x14ac:dyDescent="0.3">
      <c r="A18" s="6"/>
      <c r="B18" s="3"/>
      <c r="C18" s="3"/>
      <c r="D18" s="3"/>
      <c r="E18" s="3"/>
      <c r="F18" s="2" t="s">
        <v>35</v>
      </c>
      <c r="G18" s="7">
        <f>SUM(G2:G16)</f>
        <v>9344000</v>
      </c>
    </row>
    <row r="19" spans="1:7" x14ac:dyDescent="0.3">
      <c r="A19" s="6"/>
      <c r="B19" s="3"/>
      <c r="C19" s="3"/>
      <c r="D19" s="3"/>
      <c r="E19" s="3"/>
      <c r="F19" s="2" t="s">
        <v>36</v>
      </c>
      <c r="G19" s="9">
        <f>AVERAGE(E2:E16)</f>
        <v>209.33333333333334</v>
      </c>
    </row>
    <row r="20" spans="1:7" x14ac:dyDescent="0.3">
      <c r="A20" s="14"/>
      <c r="B20" s="15"/>
      <c r="C20" s="15"/>
      <c r="D20" s="15"/>
      <c r="E20" s="15"/>
      <c r="F20" s="16" t="s">
        <v>37</v>
      </c>
      <c r="G20" s="17">
        <f>COUNT(A2:A16)</f>
        <v>15</v>
      </c>
    </row>
    <row r="22" spans="1:7" x14ac:dyDescent="0.3">
      <c r="F22" s="4"/>
    </row>
  </sheetData>
  <pageMargins left="0.7" right="0.7" top="0.75" bottom="0.75" header="0.3" footer="0.3"/>
  <pageSetup scale="87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Idara Umoh</dc:creator>
  <cp:lastModifiedBy>BLORD CEPHAS</cp:lastModifiedBy>
  <cp:lastPrinted>2026-02-21T10:57:30Z</cp:lastPrinted>
  <dcterms:created xsi:type="dcterms:W3CDTF">2026-02-21T10:11:21Z</dcterms:created>
  <dcterms:modified xsi:type="dcterms:W3CDTF">2026-02-21T11:00:13Z</dcterms:modified>
</cp:coreProperties>
</file>